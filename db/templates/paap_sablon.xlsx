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PAAP\"/>
    </mc:Choice>
  </mc:AlternateContent>
  <xr:revisionPtr revIDLastSave="0" documentId="8_{E14B166A-D1A0-4F25-925D-3AC8FB3461E9}" xr6:coauthVersionLast="47" xr6:coauthVersionMax="47" xr10:uidLastSave="{00000000-0000-0000-0000-000000000000}"/>
  <bookViews>
    <workbookView xWindow="-120" yWindow="-120" windowWidth="25440" windowHeight="15270" xr2:uid="{4F3EE626-87E7-43FD-9F81-843D3E44FA77}"/>
  </bookViews>
  <sheets>
    <sheet name="Sheet1" sheetId="1" r:id="rId1"/>
  </sheets>
  <definedNames>
    <definedName name="_xlnm.Print_Area" localSheetId="0">Sheet1!$A$1:$N$62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H49" i="1"/>
  <c r="H50" i="1"/>
  <c r="H51" i="1"/>
  <c r="F53" i="1"/>
  <c r="H53" i="1" s="1"/>
  <c r="H45" i="1"/>
  <c r="H46" i="1"/>
  <c r="H47" i="1"/>
  <c r="H48" i="1"/>
  <c r="H43" i="1"/>
  <c r="H44" i="1"/>
  <c r="H42" i="1"/>
  <c r="H6" i="1"/>
  <c r="H41" i="1"/>
  <c r="H40" i="1"/>
  <c r="H52" i="1" l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</calcChain>
</file>

<file path=xl/sharedStrings.xml><?xml version="1.0" encoding="utf-8"?>
<sst xmlns="http://schemas.openxmlformats.org/spreadsheetml/2006/main" count="364" uniqueCount="134">
  <si>
    <t>Obiectul contractului</t>
  </si>
  <si>
    <t>Cod si denumire CPV principal</t>
  </si>
  <si>
    <t>Tip procedura</t>
  </si>
  <si>
    <t>Tipul contractului</t>
  </si>
  <si>
    <t>Responsabil achizitie</t>
  </si>
  <si>
    <t>Valoarea estimata RON (fara TVA)</t>
  </si>
  <si>
    <t>Valoarea estimata RON (cu TVA)</t>
  </si>
  <si>
    <t>Valoarea estimata EUR (fara TVA)</t>
  </si>
  <si>
    <t>Data estimata de incepere</t>
  </si>
  <si>
    <t>Data estimata de finalizare</t>
  </si>
  <si>
    <t>Modalitatea de finantare</t>
  </si>
  <si>
    <t>Obiectivul din strategia locala</t>
  </si>
  <si>
    <t>Modalitatea de desfasurare</t>
  </si>
  <si>
    <t>Unitatea responsabila</t>
  </si>
  <si>
    <t>Motorina</t>
  </si>
  <si>
    <t>09134200-9</t>
  </si>
  <si>
    <t>Procedura simplificata</t>
  </si>
  <si>
    <t>Contract de achizitii publice</t>
  </si>
  <si>
    <t>Constantin Constantin</t>
  </si>
  <si>
    <t>Alte fonduri</t>
  </si>
  <si>
    <t>Online</t>
  </si>
  <si>
    <t>Agregate balastiera</t>
  </si>
  <si>
    <t>14210000-6</t>
  </si>
  <si>
    <t>Licitatie deschisa</t>
  </si>
  <si>
    <t>Cribluri</t>
  </si>
  <si>
    <t>14212430-3</t>
  </si>
  <si>
    <t>Bitum rutier 50/70,70/100</t>
  </si>
  <si>
    <t>44113610-4</t>
  </si>
  <si>
    <t>Sare industriala pentru deszapezire</t>
  </si>
  <si>
    <t>34927100-2</t>
  </si>
  <si>
    <t>Clorura de calciu</t>
  </si>
  <si>
    <t>24312120-1</t>
  </si>
  <si>
    <t>Hartie copiator</t>
  </si>
  <si>
    <t>30197643-5</t>
  </si>
  <si>
    <t>Achizitie directa</t>
  </si>
  <si>
    <t>Offline</t>
  </si>
  <si>
    <t>Dosare</t>
  </si>
  <si>
    <t>22852000-7</t>
  </si>
  <si>
    <t>Bibliorafturi</t>
  </si>
  <si>
    <t>30197210-1</t>
  </si>
  <si>
    <t>Accesorii de birou</t>
  </si>
  <si>
    <t>30192000-1</t>
  </si>
  <si>
    <t>Piese de rezerva pentru vehiculele destinate transportului de marfuri, camionete si automobile</t>
  </si>
  <si>
    <t>34330000-9</t>
  </si>
  <si>
    <t>Apetrei Ciprian</t>
  </si>
  <si>
    <t>Salopete de lucru</t>
  </si>
  <si>
    <t>18114000-1</t>
  </si>
  <si>
    <t>Echipamente de protectie</t>
  </si>
  <si>
    <t>18143000-3</t>
  </si>
  <si>
    <t xml:space="preserve">44423740-0 </t>
  </si>
  <si>
    <t>Beton gata de turnare</t>
  </si>
  <si>
    <t>44114100-3</t>
  </si>
  <si>
    <t>Scule cu motor</t>
  </si>
  <si>
    <t>43830000-0</t>
  </si>
  <si>
    <t>Achizitie Directa</t>
  </si>
  <si>
    <t>Scule de mana</t>
  </si>
  <si>
    <t>44511000-5</t>
  </si>
  <si>
    <t>Indicatoare rutiere</t>
  </si>
  <si>
    <t>34992200-9</t>
  </si>
  <si>
    <t>Atomei Florin</t>
  </si>
  <si>
    <t>Ventilatoare si aparate de aer conditionat</t>
  </si>
  <si>
    <t>39717000-1</t>
  </si>
  <si>
    <t>Fotocopiatoare</t>
  </si>
  <si>
    <t>30121100-4</t>
  </si>
  <si>
    <t>Toner pentru fotocopiatoare</t>
  </si>
  <si>
    <t>30125120-8</t>
  </si>
  <si>
    <t>Pachete software si sisteme informatice</t>
  </si>
  <si>
    <t>48000000-8</t>
  </si>
  <si>
    <t>Acetilena</t>
  </si>
  <si>
    <t>24321115-9</t>
  </si>
  <si>
    <t>Produse din beton</t>
  </si>
  <si>
    <t>44114200-4</t>
  </si>
  <si>
    <t>Piese pentru utilaje de prelucrare a mineralelor</t>
  </si>
  <si>
    <t>43600000-9</t>
  </si>
  <si>
    <t>Chirila Vasile</t>
  </si>
  <si>
    <t>Preparate lubrifiante</t>
  </si>
  <si>
    <t>09210000-4</t>
  </si>
  <si>
    <t>Materiale rutiere bitumate</t>
  </si>
  <si>
    <t>44113310-1</t>
  </si>
  <si>
    <t>Cherestea</t>
  </si>
  <si>
    <t>03419000-0</t>
  </si>
  <si>
    <t>Filere</t>
  </si>
  <si>
    <t>44831200-6</t>
  </si>
  <si>
    <t>Inchiriere de vehicule de transport de marfuri cu sofer (Rev.2)</t>
  </si>
  <si>
    <t>60180000-3</t>
  </si>
  <si>
    <t>Cerere oferta</t>
  </si>
  <si>
    <t>Echipament de stingere a incendiilor</t>
  </si>
  <si>
    <t>35111000-5</t>
  </si>
  <si>
    <t>Produse igiena</t>
  </si>
  <si>
    <t>33771000-5</t>
  </si>
  <si>
    <t>Saci si pungi din polietilena pentru deseuri</t>
  </si>
  <si>
    <t>19640000-4</t>
  </si>
  <si>
    <t>FUNCTIE PERSOANA AVIZATOARE</t>
  </si>
  <si>
    <t>SERVICIUL ECONOMIC</t>
  </si>
  <si>
    <t>FUNCTIE PERSOANA CARE A INTOCMIT</t>
  </si>
  <si>
    <t>ACHIZITII APROVIZIONARE</t>
  </si>
  <si>
    <t>NUME SI PRENUME</t>
  </si>
  <si>
    <t>DATA AVIZARE</t>
  </si>
  <si>
    <t>OBSERVATII</t>
  </si>
  <si>
    <t>SEMNATURA</t>
  </si>
  <si>
    <t>DATA INTOCMIRE</t>
  </si>
  <si>
    <t>Licitatie deschisa/Negociere fara publicare</t>
  </si>
  <si>
    <t>DIRECTOR GENERAL INTERIMAR</t>
  </si>
  <si>
    <t>Pneuri pentru sarcina mica si mare  (Rev.2)</t>
  </si>
  <si>
    <t>34350000-5</t>
  </si>
  <si>
    <t>Capace pentru guri de vizitare</t>
  </si>
  <si>
    <t>Materiale pentru pavare (Rev.2)</t>
  </si>
  <si>
    <t>44113100-6</t>
  </si>
  <si>
    <t>Benzina fara plumb(Rev.2)</t>
  </si>
  <si>
    <t>09132100-4</t>
  </si>
  <si>
    <t>Acumulatori cu placi de plumb si acid sulfuric (Rev.2)</t>
  </si>
  <si>
    <t>31431000-6</t>
  </si>
  <si>
    <t>Servicii de brokeraj si servicii de societati de asigurari (Rev.2)</t>
  </si>
  <si>
    <t>66518000-4</t>
  </si>
  <si>
    <t>Servicii de inspectie tehnica a automobilelor (Rev.2)</t>
  </si>
  <si>
    <t>71631200-2</t>
  </si>
  <si>
    <t>Servicii de medicina muncii (Rev.2)</t>
  </si>
  <si>
    <t>85147000-1</t>
  </si>
  <si>
    <t>Mitrea Daniela</t>
  </si>
  <si>
    <t>Servicii de psihiatrie sau psihologie (Rev.2)</t>
  </si>
  <si>
    <t>85121270-6</t>
  </si>
  <si>
    <t>Materiale de constructii (Rev.2)</t>
  </si>
  <si>
    <t>44110000-4</t>
  </si>
  <si>
    <t>Conducte, tevarie, tevi, tubaje, tuburi si articole conexe (Rev.2)</t>
  </si>
  <si>
    <t>44160000-9</t>
  </si>
  <si>
    <t>Diverse materiale de constructii (Rev.2)</t>
  </si>
  <si>
    <t>44190000-8</t>
  </si>
  <si>
    <t>Vopsele, lacuri si masticuri (Rev.2)</t>
  </si>
  <si>
    <t>44800000-8</t>
  </si>
  <si>
    <t>Leasing</t>
  </si>
  <si>
    <t>Autoautilitara cu cabina dubla si bena basculabila</t>
  </si>
  <si>
    <t>34131000-4</t>
  </si>
  <si>
    <t>34131000-2</t>
  </si>
  <si>
    <t>34131000-3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</si>
</sst>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[$lei-418]_-;\-* #,##0\ [$lei-418]_-;_-* &quot;-&quot;??\ [$lei-418]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790C6C18-A2D9-400A-9BA6-0997C16137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ED1FB5-D022-4EA9-A2A6-27C83730F12C}" name="Table16" displayName="Table16" ref="A4:N53" totalsRowShown="0" headerRowDxfId="15" dataDxfId="14">
  <autoFilter ref="A4:N53" xr:uid="{79ED1FB5-D022-4EA9-A2A6-27C83730F12C}"/>
  <tableColumns count="14">
    <tableColumn id="1" xr3:uid="{C8CC9BAF-C2D8-48D7-8C34-97FD5CE68525}" name="Obiectul contractului" dataDxfId="13"/>
    <tableColumn id="2" xr3:uid="{AF2F77A9-BD2F-48E4-8E8E-59284F2B5EB6}" name="Cod si denumire CPV principal" dataDxfId="12"/>
    <tableColumn id="4" xr3:uid="{6E487C7A-E6E3-40B8-A0AE-67B0D667FDA1}" name="Tip procedura" dataDxfId="11"/>
    <tableColumn id="5" xr3:uid="{A53A70AA-6ED7-4E0B-84A9-7EDCEAF4658F}" name="Tipul contractului" dataDxfId="10"/>
    <tableColumn id="6" xr3:uid="{7A857342-A60A-41DF-A914-25D0C944C6D7}" name="Responsabil achizitie" dataDxfId="9"/>
    <tableColumn id="7" xr3:uid="{F8656974-C144-404E-98D7-33D7F97E8D4E}" name="Valoarea estimata RON (fara TVA)" dataDxfId="8"/>
    <tableColumn id="8" xr3:uid="{253E3DEC-A9B4-4D9E-82E7-8A6284874F0A}" name="Valoarea estimata RON (cu TVA)" dataDxfId="7">
      <calculatedColumnFormula>Table16[[#This Row],[Valoarea estimata RON (fara TVA)]]*1.21</calculatedColumnFormula>
    </tableColumn>
    <tableColumn id="9" xr3:uid="{0DD7C5EA-8610-4940-9F01-B5E746ADE81E}" name="Valoarea estimata EUR (fara TVA)" dataDxfId="6">
      <calculatedColumnFormula>Table16[[#This Row],[Valoarea estimata RON (fara TVA)]]/5</calculatedColumnFormula>
    </tableColumn>
    <tableColumn id="10" xr3:uid="{D15EEC57-4B6C-4110-B015-662C43871AFB}" name="Data estimata de incepere" dataDxfId="5"/>
    <tableColumn id="11" xr3:uid="{BB5AE805-92DE-4913-B75D-5CEB1B305834}" name="Data estimata de finalizare" dataDxfId="4"/>
    <tableColumn id="13" xr3:uid="{1861BD01-E457-4D9E-A166-F4726D92D66E}" name="Modalitatea de finantare" dataDxfId="3"/>
    <tableColumn id="14" xr3:uid="{A968FE19-1367-40FA-A9A2-AC4F8E16241F}" name="Obiectivul din strategia locala" dataDxfId="2"/>
    <tableColumn id="15" xr3:uid="{0B0C6E1A-5CAB-4C07-ADDA-9D8E37D5CD7D}" name="Modalitatea de desfasurare" dataDxfId="1"/>
    <tableColumn id="16" xr3:uid="{7177807E-6A0D-4696-BF03-D91C5E302EAD}" name="Unitatea responsabil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A556-9D91-4178-817D-9E4D71B5CD69}">
  <dimension ref="A2:N58"/>
  <sheetViews>
    <sheetView tabSelected="1" zoomScaleNormal="100" workbookViewId="0">
      <selection activeCell="G9" sqref="G9"/>
    </sheetView>
  </sheetViews>
  <sheetFormatPr defaultRowHeight="15" x14ac:dyDescent="0.25"/>
  <cols>
    <col min="1" max="1" width="26.140625" customWidth="1"/>
    <col min="2" max="2" width="12.5703125" customWidth="1"/>
    <col min="3" max="3" width="16.42578125" customWidth="1"/>
    <col min="4" max="4" width="19.5703125" customWidth="1"/>
    <col min="5" max="5" width="17.140625" customWidth="1"/>
    <col min="6" max="6" width="19.7109375" customWidth="1"/>
    <col min="7" max="7" width="20.140625" customWidth="1"/>
    <col min="8" max="8" width="14.140625" customWidth="1"/>
    <col min="9" max="9" width="17.7109375" customWidth="1"/>
    <col min="10" max="10" width="18.28515625" customWidth="1"/>
    <col min="11" max="11" width="15.42578125" customWidth="1"/>
    <col min="12" max="12" width="14.5703125" hidden="1" customWidth="1"/>
    <col min="13" max="13" width="14" customWidth="1"/>
    <col min="14" max="14" width="0" hidden="1" customWidth="1"/>
    <col min="15" max="15" width="11.28515625" customWidth="1"/>
  </cols>
  <sheetData>
    <row r="2" spans="1:14" x14ac:dyDescent="0.25">
      <c r="H2" s="2">
        <v>2026</v>
      </c>
    </row>
    <row r="4" spans="1:14" ht="72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1" t="s">
        <v>13</v>
      </c>
    </row>
    <row r="5" spans="1:14" ht="30" x14ac:dyDescent="0.25">
      <c r="A5" s="3" t="s">
        <v>14</v>
      </c>
      <c r="B5" s="23" t="s">
        <v>15</v>
      </c>
      <c r="C5" s="3" t="s">
        <v>16</v>
      </c>
      <c r="D5" s="3" t="s">
        <v>17</v>
      </c>
      <c r="E5" s="3" t="s">
        <v>18</v>
      </c>
      <c r="F5" s="3">
        <v>670000</v>
      </c>
      <c r="G5" s="3">
        <f>Table16[[#This Row],[Valoarea estimata RON (fara TVA)]]*1.21</f>
        <v>810700</v>
      </c>
      <c r="H5" s="3">
        <f>Table16[[#This Row],[Valoarea estimata RON (fara TVA)]]/5</f>
        <v>134000</v>
      </c>
      <c r="I5" s="24">
        <v>45962</v>
      </c>
      <c r="J5" s="24">
        <v>45991</v>
      </c>
      <c r="K5" s="3" t="s">
        <v>19</v>
      </c>
      <c r="L5" s="3"/>
      <c r="M5" s="3" t="s">
        <v>20</v>
      </c>
      <c r="N5" s="1"/>
    </row>
    <row r="6" spans="1:14" ht="30" x14ac:dyDescent="0.25">
      <c r="A6" s="3" t="s">
        <v>108</v>
      </c>
      <c r="B6" s="23" t="s">
        <v>109</v>
      </c>
      <c r="C6" s="3" t="s">
        <v>34</v>
      </c>
      <c r="D6" s="3" t="s">
        <v>17</v>
      </c>
      <c r="E6" s="3" t="s">
        <v>18</v>
      </c>
      <c r="F6" s="3">
        <v>30000</v>
      </c>
      <c r="G6" s="3">
        <f>Table16[[#This Row],[Valoarea estimata RON (fara TVA)]]*1.21</f>
        <v>36300</v>
      </c>
      <c r="H6" s="3">
        <f>Table16[[#This Row],[Valoarea estimata RON (fara TVA)]]/5</f>
        <v>6000</v>
      </c>
      <c r="I6" s="24">
        <v>45748</v>
      </c>
      <c r="J6" s="24">
        <v>46011</v>
      </c>
      <c r="K6" s="3" t="s">
        <v>19</v>
      </c>
      <c r="L6" s="3"/>
      <c r="M6" s="3" t="s">
        <v>20</v>
      </c>
      <c r="N6" s="1"/>
    </row>
    <row r="7" spans="1:14" ht="60" x14ac:dyDescent="0.25">
      <c r="A7" s="3" t="s">
        <v>21</v>
      </c>
      <c r="B7" s="23" t="s">
        <v>22</v>
      </c>
      <c r="C7" s="3" t="s">
        <v>101</v>
      </c>
      <c r="D7" s="3" t="s">
        <v>17</v>
      </c>
      <c r="E7" s="3" t="s">
        <v>18</v>
      </c>
      <c r="F7" s="3">
        <v>1500000</v>
      </c>
      <c r="G7" s="3">
        <f>Table16[[#This Row],[Valoarea estimata RON (fara TVA)]]*1.21</f>
        <v>1815000</v>
      </c>
      <c r="H7" s="3">
        <f>Table16[[#This Row],[Valoarea estimata RON (fara TVA)]]/5</f>
        <v>300000</v>
      </c>
      <c r="I7" s="24">
        <v>45748</v>
      </c>
      <c r="J7" s="24">
        <v>46174</v>
      </c>
      <c r="K7" s="3" t="s">
        <v>19</v>
      </c>
      <c r="L7" s="3"/>
      <c r="M7" s="3" t="s">
        <v>20</v>
      </c>
      <c r="N7" s="1"/>
    </row>
    <row r="8" spans="1:14" ht="60" x14ac:dyDescent="0.25">
      <c r="A8" s="3" t="s">
        <v>24</v>
      </c>
      <c r="B8" s="23" t="s">
        <v>25</v>
      </c>
      <c r="C8" s="3" t="s">
        <v>101</v>
      </c>
      <c r="D8" s="3" t="s">
        <v>17</v>
      </c>
      <c r="E8" s="3" t="s">
        <v>18</v>
      </c>
      <c r="F8" s="3">
        <v>50000</v>
      </c>
      <c r="G8" s="3">
        <f>Table16[[#This Row],[Valoarea estimata RON (fara TVA)]]*1.21</f>
        <v>60500</v>
      </c>
      <c r="H8" s="3">
        <f>Table16[[#This Row],[Valoarea estimata RON (fara TVA)]]/5</f>
        <v>10000</v>
      </c>
      <c r="I8" s="24">
        <v>45748</v>
      </c>
      <c r="J8" s="24">
        <v>45809</v>
      </c>
      <c r="K8" s="3" t="s">
        <v>19</v>
      </c>
      <c r="L8" s="3"/>
      <c r="M8" s="3" t="s">
        <v>20</v>
      </c>
      <c r="N8" s="1"/>
    </row>
    <row r="9" spans="1:14" ht="60" x14ac:dyDescent="0.25">
      <c r="A9" s="3" t="s">
        <v>26</v>
      </c>
      <c r="B9" s="3" t="s">
        <v>27</v>
      </c>
      <c r="C9" s="3" t="s">
        <v>101</v>
      </c>
      <c r="D9" s="3" t="s">
        <v>17</v>
      </c>
      <c r="E9" s="3" t="s">
        <v>18</v>
      </c>
      <c r="F9" s="3">
        <v>1400000</v>
      </c>
      <c r="G9" s="3">
        <f>Table16[[#This Row],[Valoarea estimata RON (fara TVA)]]*1.21</f>
        <v>1694000</v>
      </c>
      <c r="H9" s="3">
        <f>Table16[[#This Row],[Valoarea estimata RON (fara TVA)]]/5</f>
        <v>280000</v>
      </c>
      <c r="I9" s="24">
        <v>45689</v>
      </c>
      <c r="J9" s="24">
        <v>45809</v>
      </c>
      <c r="K9" s="3" t="s">
        <v>19</v>
      </c>
      <c r="L9" s="3"/>
      <c r="M9" s="3" t="s">
        <v>20</v>
      </c>
      <c r="N9" s="1"/>
    </row>
    <row r="10" spans="1:14" ht="30" x14ac:dyDescent="0.25">
      <c r="A10" s="3" t="s">
        <v>28</v>
      </c>
      <c r="B10" s="3" t="s">
        <v>29</v>
      </c>
      <c r="C10" s="3" t="s">
        <v>16</v>
      </c>
      <c r="D10" s="3" t="s">
        <v>17</v>
      </c>
      <c r="E10" s="3" t="s">
        <v>18</v>
      </c>
      <c r="F10" s="3">
        <v>350000</v>
      </c>
      <c r="G10" s="3">
        <f>Table16[[#This Row],[Valoarea estimata RON (fara TVA)]]*1.21</f>
        <v>423500</v>
      </c>
      <c r="H10" s="3">
        <f>Table16[[#This Row],[Valoarea estimata RON (fara TVA)]]/5</f>
        <v>70000</v>
      </c>
      <c r="I10" s="24">
        <v>45910</v>
      </c>
      <c r="J10" s="24">
        <v>45930</v>
      </c>
      <c r="K10" s="3" t="s">
        <v>19</v>
      </c>
      <c r="L10" s="3"/>
      <c r="M10" s="3" t="s">
        <v>20</v>
      </c>
      <c r="N10" s="1"/>
    </row>
    <row r="11" spans="1:14" ht="30" x14ac:dyDescent="0.25">
      <c r="A11" s="3" t="s">
        <v>30</v>
      </c>
      <c r="B11" s="3" t="s">
        <v>31</v>
      </c>
      <c r="C11" s="3" t="s">
        <v>23</v>
      </c>
      <c r="D11" s="3" t="s">
        <v>17</v>
      </c>
      <c r="E11" s="3" t="s">
        <v>18</v>
      </c>
      <c r="F11" s="3">
        <v>350000</v>
      </c>
      <c r="G11" s="3">
        <f>Table16[[#This Row],[Valoarea estimata RON (fara TVA)]]*1.21</f>
        <v>423500</v>
      </c>
      <c r="H11" s="3">
        <f>Table16[[#This Row],[Valoarea estimata RON (fara TVA)]]/5</f>
        <v>70000</v>
      </c>
      <c r="I11" s="24">
        <v>45910</v>
      </c>
      <c r="J11" s="24">
        <v>45991</v>
      </c>
      <c r="K11" s="3" t="s">
        <v>19</v>
      </c>
      <c r="L11" s="3"/>
      <c r="M11" s="3" t="s">
        <v>20</v>
      </c>
      <c r="N11" s="1"/>
    </row>
    <row r="12" spans="1:14" ht="30" x14ac:dyDescent="0.25">
      <c r="A12" s="3" t="s">
        <v>32</v>
      </c>
      <c r="B12" s="3" t="s">
        <v>33</v>
      </c>
      <c r="C12" s="3" t="s">
        <v>34</v>
      </c>
      <c r="D12" s="3" t="s">
        <v>17</v>
      </c>
      <c r="E12" s="3" t="s">
        <v>18</v>
      </c>
      <c r="F12" s="3">
        <v>10000</v>
      </c>
      <c r="G12" s="3">
        <f>Table16[[#This Row],[Valoarea estimata RON (fara TVA)]]*1.21</f>
        <v>12100</v>
      </c>
      <c r="H12" s="3">
        <f>Table16[[#This Row],[Valoarea estimata RON (fara TVA)]]/5</f>
        <v>2000</v>
      </c>
      <c r="I12" s="24">
        <v>45778</v>
      </c>
      <c r="J12" s="24">
        <v>45991</v>
      </c>
      <c r="K12" s="3" t="s">
        <v>19</v>
      </c>
      <c r="L12" s="3"/>
      <c r="M12" s="3" t="s">
        <v>35</v>
      </c>
      <c r="N12" s="1"/>
    </row>
    <row r="13" spans="1:14" ht="30" x14ac:dyDescent="0.25">
      <c r="A13" s="3" t="s">
        <v>36</v>
      </c>
      <c r="B13" s="3" t="s">
        <v>37</v>
      </c>
      <c r="C13" s="3" t="s">
        <v>34</v>
      </c>
      <c r="D13" s="3" t="s">
        <v>17</v>
      </c>
      <c r="E13" s="3" t="s">
        <v>18</v>
      </c>
      <c r="F13" s="3">
        <v>2000</v>
      </c>
      <c r="G13" s="3">
        <f>Table16[[#This Row],[Valoarea estimata RON (fara TVA)]]*1.21</f>
        <v>2420</v>
      </c>
      <c r="H13" s="3">
        <f>Table16[[#This Row],[Valoarea estimata RON (fara TVA)]]/5</f>
        <v>400</v>
      </c>
      <c r="I13" s="24">
        <v>45667</v>
      </c>
      <c r="J13" s="24">
        <v>46011</v>
      </c>
      <c r="K13" s="3" t="s">
        <v>19</v>
      </c>
      <c r="L13" s="3"/>
      <c r="M13" s="3" t="s">
        <v>35</v>
      </c>
      <c r="N13" s="1"/>
    </row>
    <row r="14" spans="1:14" ht="30" x14ac:dyDescent="0.25">
      <c r="A14" s="3" t="s">
        <v>38</v>
      </c>
      <c r="B14" s="3" t="s">
        <v>39</v>
      </c>
      <c r="C14" s="3" t="s">
        <v>34</v>
      </c>
      <c r="D14" s="3" t="s">
        <v>17</v>
      </c>
      <c r="E14" s="3" t="s">
        <v>18</v>
      </c>
      <c r="F14" s="3">
        <v>2000</v>
      </c>
      <c r="G14" s="3">
        <f>Table16[[#This Row],[Valoarea estimata RON (fara TVA)]]*1.21</f>
        <v>2420</v>
      </c>
      <c r="H14" s="3">
        <f>Table16[[#This Row],[Valoarea estimata RON (fara TVA)]]/5</f>
        <v>400</v>
      </c>
      <c r="I14" s="24">
        <v>45757</v>
      </c>
      <c r="J14" s="24">
        <v>46011</v>
      </c>
      <c r="K14" s="3" t="s">
        <v>19</v>
      </c>
      <c r="L14" s="3"/>
      <c r="M14" s="3" t="s">
        <v>35</v>
      </c>
      <c r="N14" s="1"/>
    </row>
    <row r="15" spans="1:14" ht="30" x14ac:dyDescent="0.25">
      <c r="A15" s="3" t="s">
        <v>40</v>
      </c>
      <c r="B15" s="3" t="s">
        <v>41</v>
      </c>
      <c r="C15" s="3" t="s">
        <v>34</v>
      </c>
      <c r="D15" s="3" t="s">
        <v>17</v>
      </c>
      <c r="E15" s="3" t="s">
        <v>18</v>
      </c>
      <c r="F15" s="3">
        <v>5000</v>
      </c>
      <c r="G15" s="3">
        <f>Table16[[#This Row],[Valoarea estimata RON (fara TVA)]]*1.21</f>
        <v>6050</v>
      </c>
      <c r="H15" s="3">
        <f>Table16[[#This Row],[Valoarea estimata RON (fara TVA)]]/5</f>
        <v>1000</v>
      </c>
      <c r="I15" s="24">
        <v>45757</v>
      </c>
      <c r="J15" s="24">
        <v>46011</v>
      </c>
      <c r="K15" s="3" t="s">
        <v>19</v>
      </c>
      <c r="L15" s="3"/>
      <c r="M15" s="3" t="s">
        <v>35</v>
      </c>
      <c r="N15" s="1"/>
    </row>
    <row r="16" spans="1:14" ht="60" x14ac:dyDescent="0.25">
      <c r="A16" s="3" t="s">
        <v>42</v>
      </c>
      <c r="B16" s="3" t="s">
        <v>43</v>
      </c>
      <c r="C16" s="3" t="s">
        <v>34</v>
      </c>
      <c r="D16" s="3" t="s">
        <v>17</v>
      </c>
      <c r="E16" s="3" t="s">
        <v>44</v>
      </c>
      <c r="F16" s="3">
        <v>250000</v>
      </c>
      <c r="G16" s="3">
        <f>Table16[[#This Row],[Valoarea estimata RON (fara TVA)]]*1.21</f>
        <v>302500</v>
      </c>
      <c r="H16" s="3">
        <f>Table16[[#This Row],[Valoarea estimata RON (fara TVA)]]/5</f>
        <v>50000</v>
      </c>
      <c r="I16" s="24">
        <v>45667</v>
      </c>
      <c r="J16" s="24">
        <v>46022</v>
      </c>
      <c r="K16" s="3" t="s">
        <v>19</v>
      </c>
      <c r="L16" s="3"/>
      <c r="M16" s="3" t="s">
        <v>35</v>
      </c>
      <c r="N16" s="1"/>
    </row>
    <row r="17" spans="1:14" ht="30" x14ac:dyDescent="0.25">
      <c r="A17" s="3" t="s">
        <v>45</v>
      </c>
      <c r="B17" s="3" t="s">
        <v>46</v>
      </c>
      <c r="C17" s="3" t="s">
        <v>34</v>
      </c>
      <c r="D17" s="3" t="s">
        <v>17</v>
      </c>
      <c r="E17" s="3" t="s">
        <v>18</v>
      </c>
      <c r="F17" s="3">
        <v>80000</v>
      </c>
      <c r="G17" s="3">
        <f>Table16[[#This Row],[Valoarea estimata RON (fara TVA)]]*1.21</f>
        <v>96800</v>
      </c>
      <c r="H17" s="3">
        <f>Table16[[#This Row],[Valoarea estimata RON (fara TVA)]]/5</f>
        <v>16000</v>
      </c>
      <c r="I17" s="24">
        <v>45698</v>
      </c>
      <c r="J17" s="24">
        <v>46022</v>
      </c>
      <c r="K17" s="3" t="s">
        <v>19</v>
      </c>
      <c r="L17" s="3"/>
      <c r="M17" s="3" t="s">
        <v>35</v>
      </c>
      <c r="N17" s="1"/>
    </row>
    <row r="18" spans="1:14" ht="30" x14ac:dyDescent="0.25">
      <c r="A18" s="3" t="s">
        <v>47</v>
      </c>
      <c r="B18" s="3" t="s">
        <v>48</v>
      </c>
      <c r="C18" s="3" t="s">
        <v>34</v>
      </c>
      <c r="D18" s="3" t="s">
        <v>17</v>
      </c>
      <c r="E18" s="3" t="s">
        <v>18</v>
      </c>
      <c r="F18" s="3">
        <v>15000</v>
      </c>
      <c r="G18" s="3">
        <f>Table16[[#This Row],[Valoarea estimata RON (fara TVA)]]*1.21</f>
        <v>18150</v>
      </c>
      <c r="H18" s="3">
        <f>Table16[[#This Row],[Valoarea estimata RON (fara TVA)]]/5</f>
        <v>3000</v>
      </c>
      <c r="I18" s="24">
        <v>45667</v>
      </c>
      <c r="J18" s="24">
        <v>46022</v>
      </c>
      <c r="K18" s="3" t="s">
        <v>19</v>
      </c>
      <c r="L18" s="3"/>
      <c r="M18" s="3" t="s">
        <v>35</v>
      </c>
      <c r="N18" s="1"/>
    </row>
    <row r="19" spans="1:14" ht="30" x14ac:dyDescent="0.25">
      <c r="A19" s="3" t="s">
        <v>105</v>
      </c>
      <c r="B19" s="3" t="s">
        <v>49</v>
      </c>
      <c r="C19" s="3" t="s">
        <v>34</v>
      </c>
      <c r="D19" s="3" t="s">
        <v>17</v>
      </c>
      <c r="E19" s="3" t="s">
        <v>18</v>
      </c>
      <c r="F19" s="3">
        <v>200000</v>
      </c>
      <c r="G19" s="3">
        <f>Table16[[#This Row],[Valoarea estimata RON (fara TVA)]]*1.21</f>
        <v>242000</v>
      </c>
      <c r="H19" s="3">
        <f>Table16[[#This Row],[Valoarea estimata RON (fara TVA)]]/5</f>
        <v>40000</v>
      </c>
      <c r="I19" s="24">
        <v>45717</v>
      </c>
      <c r="J19" s="24">
        <v>46021</v>
      </c>
      <c r="K19" s="3" t="s">
        <v>19</v>
      </c>
      <c r="L19" s="3"/>
      <c r="M19" s="3" t="s">
        <v>35</v>
      </c>
      <c r="N19" s="1"/>
    </row>
    <row r="20" spans="1:14" ht="30" x14ac:dyDescent="0.25">
      <c r="A20" s="3" t="s">
        <v>50</v>
      </c>
      <c r="B20" s="3" t="s">
        <v>51</v>
      </c>
      <c r="C20" s="3" t="s">
        <v>34</v>
      </c>
      <c r="D20" s="3" t="s">
        <v>17</v>
      </c>
      <c r="E20" s="3" t="s">
        <v>18</v>
      </c>
      <c r="F20" s="3">
        <v>200000</v>
      </c>
      <c r="G20" s="3">
        <f>Table16[[#This Row],[Valoarea estimata RON (fara TVA)]]*1.21</f>
        <v>242000</v>
      </c>
      <c r="H20" s="3">
        <f>Table16[[#This Row],[Valoarea estimata RON (fara TVA)]]/5</f>
        <v>40000</v>
      </c>
      <c r="I20" s="24">
        <v>45717</v>
      </c>
      <c r="J20" s="24">
        <v>46011</v>
      </c>
      <c r="K20" s="3" t="s">
        <v>19</v>
      </c>
      <c r="L20" s="3"/>
      <c r="M20" s="3" t="s">
        <v>35</v>
      </c>
      <c r="N20" s="1"/>
    </row>
    <row r="21" spans="1:14" ht="30" x14ac:dyDescent="0.25">
      <c r="A21" s="3" t="s">
        <v>52</v>
      </c>
      <c r="B21" s="3" t="s">
        <v>53</v>
      </c>
      <c r="C21" s="3" t="s">
        <v>54</v>
      </c>
      <c r="D21" s="3" t="s">
        <v>17</v>
      </c>
      <c r="E21" s="3" t="s">
        <v>18</v>
      </c>
      <c r="F21" s="3">
        <v>50000</v>
      </c>
      <c r="G21" s="3">
        <f>Table16[[#This Row],[Valoarea estimata RON (fara TVA)]]*1.21</f>
        <v>60500</v>
      </c>
      <c r="H21" s="3">
        <f>Table16[[#This Row],[Valoarea estimata RON (fara TVA)]]/5</f>
        <v>10000</v>
      </c>
      <c r="I21" s="24">
        <v>45689</v>
      </c>
      <c r="J21" s="24">
        <v>46011</v>
      </c>
      <c r="K21" s="3" t="s">
        <v>19</v>
      </c>
      <c r="L21" s="3"/>
      <c r="M21" s="3" t="s">
        <v>35</v>
      </c>
      <c r="N21" s="1"/>
    </row>
    <row r="22" spans="1:14" ht="30" x14ac:dyDescent="0.25">
      <c r="A22" s="3" t="s">
        <v>55</v>
      </c>
      <c r="B22" s="3" t="s">
        <v>56</v>
      </c>
      <c r="C22" s="3" t="s">
        <v>34</v>
      </c>
      <c r="D22" s="3" t="s">
        <v>17</v>
      </c>
      <c r="E22" s="3" t="s">
        <v>18</v>
      </c>
      <c r="F22" s="3">
        <v>10000</v>
      </c>
      <c r="G22" s="3">
        <f>Table16[[#This Row],[Valoarea estimata RON (fara TVA)]]*1.21</f>
        <v>12100</v>
      </c>
      <c r="H22" s="3">
        <f>Table16[[#This Row],[Valoarea estimata RON (fara TVA)]]/5</f>
        <v>2000</v>
      </c>
      <c r="I22" s="24">
        <v>45690</v>
      </c>
      <c r="J22" s="24">
        <v>46021</v>
      </c>
      <c r="K22" s="3" t="s">
        <v>19</v>
      </c>
      <c r="L22" s="3"/>
      <c r="M22" s="3" t="s">
        <v>35</v>
      </c>
      <c r="N22" s="1"/>
    </row>
    <row r="23" spans="1:14" ht="45" x14ac:dyDescent="0.25">
      <c r="A23" s="3" t="s">
        <v>123</v>
      </c>
      <c r="B23" s="3" t="s">
        <v>124</v>
      </c>
      <c r="C23" s="3" t="s">
        <v>34</v>
      </c>
      <c r="D23" s="3" t="s">
        <v>17</v>
      </c>
      <c r="E23" s="3" t="s">
        <v>18</v>
      </c>
      <c r="F23" s="3">
        <v>100000</v>
      </c>
      <c r="G23" s="3">
        <f>Table16[[#This Row],[Valoarea estimata RON (fara TVA)]]*1.21</f>
        <v>121000</v>
      </c>
      <c r="H23" s="3">
        <f>Table16[[#This Row],[Valoarea estimata RON (fara TVA)]]/5</f>
        <v>20000</v>
      </c>
      <c r="I23" s="24">
        <v>45721</v>
      </c>
      <c r="J23" s="24">
        <v>46011</v>
      </c>
      <c r="K23" s="3" t="s">
        <v>19</v>
      </c>
      <c r="L23" s="3"/>
      <c r="M23" s="3" t="s">
        <v>35</v>
      </c>
      <c r="N23" s="1"/>
    </row>
    <row r="24" spans="1:14" ht="30" x14ac:dyDescent="0.25">
      <c r="A24" s="3" t="s">
        <v>57</v>
      </c>
      <c r="B24" s="3" t="s">
        <v>58</v>
      </c>
      <c r="C24" s="3" t="s">
        <v>34</v>
      </c>
      <c r="D24" s="3" t="s">
        <v>17</v>
      </c>
      <c r="E24" s="3" t="s">
        <v>59</v>
      </c>
      <c r="F24" s="3">
        <v>150000</v>
      </c>
      <c r="G24" s="3">
        <f>Table16[[#This Row],[Valoarea estimata RON (fara TVA)]]*1.21</f>
        <v>181500</v>
      </c>
      <c r="H24" s="3">
        <f>Table16[[#This Row],[Valoarea estimata RON (fara TVA)]]/5</f>
        <v>30000</v>
      </c>
      <c r="I24" s="24">
        <v>45690</v>
      </c>
      <c r="J24" s="24">
        <v>46021</v>
      </c>
      <c r="K24" s="3" t="s">
        <v>19</v>
      </c>
      <c r="L24" s="3"/>
      <c r="M24" s="3" t="s">
        <v>35</v>
      </c>
      <c r="N24" s="1"/>
    </row>
    <row r="25" spans="1:14" ht="30" x14ac:dyDescent="0.25">
      <c r="A25" s="3" t="s">
        <v>60</v>
      </c>
      <c r="B25" s="3" t="s">
        <v>61</v>
      </c>
      <c r="C25" s="3" t="s">
        <v>34</v>
      </c>
      <c r="D25" s="3" t="s">
        <v>17</v>
      </c>
      <c r="E25" s="3" t="s">
        <v>18</v>
      </c>
      <c r="F25" s="3">
        <v>20000</v>
      </c>
      <c r="G25" s="3">
        <f>Table16[[#This Row],[Valoarea estimata RON (fara TVA)]]*1.21</f>
        <v>24200</v>
      </c>
      <c r="H25" s="3">
        <f>Table16[[#This Row],[Valoarea estimata RON (fara TVA)]]/5</f>
        <v>4000</v>
      </c>
      <c r="I25" s="24">
        <v>45748</v>
      </c>
      <c r="J25" s="24">
        <v>46011</v>
      </c>
      <c r="K25" s="3" t="s">
        <v>19</v>
      </c>
      <c r="L25" s="3"/>
      <c r="M25" s="3" t="s">
        <v>35</v>
      </c>
      <c r="N25" s="1"/>
    </row>
    <row r="26" spans="1:14" ht="30" x14ac:dyDescent="0.25">
      <c r="A26" s="3" t="s">
        <v>62</v>
      </c>
      <c r="B26" s="3" t="s">
        <v>63</v>
      </c>
      <c r="C26" s="3" t="s">
        <v>34</v>
      </c>
      <c r="D26" s="3" t="s">
        <v>17</v>
      </c>
      <c r="E26" s="3" t="s">
        <v>18</v>
      </c>
      <c r="F26" s="3">
        <v>15000</v>
      </c>
      <c r="G26" s="3">
        <f>Table16[[#This Row],[Valoarea estimata RON (fara TVA)]]*1.21</f>
        <v>18150</v>
      </c>
      <c r="H26" s="3">
        <f>Table16[[#This Row],[Valoarea estimata RON (fara TVA)]]/5</f>
        <v>3000</v>
      </c>
      <c r="I26" s="24">
        <v>45748</v>
      </c>
      <c r="J26" s="24">
        <v>46021</v>
      </c>
      <c r="K26" s="3" t="s">
        <v>19</v>
      </c>
      <c r="L26" s="3"/>
      <c r="M26" s="3" t="s">
        <v>35</v>
      </c>
      <c r="N26" s="1"/>
    </row>
    <row r="27" spans="1:14" ht="30" x14ac:dyDescent="0.25">
      <c r="A27" s="3" t="s">
        <v>64</v>
      </c>
      <c r="B27" s="3" t="s">
        <v>65</v>
      </c>
      <c r="C27" s="3" t="s">
        <v>34</v>
      </c>
      <c r="D27" s="3" t="s">
        <v>17</v>
      </c>
      <c r="E27" s="3" t="s">
        <v>18</v>
      </c>
      <c r="F27" s="3">
        <v>11200</v>
      </c>
      <c r="G27" s="3">
        <f>Table16[[#This Row],[Valoarea estimata RON (fara TVA)]]*1.21</f>
        <v>13552</v>
      </c>
      <c r="H27" s="3">
        <f>Table16[[#This Row],[Valoarea estimata RON (fara TVA)]]/5</f>
        <v>2240</v>
      </c>
      <c r="I27" s="24">
        <v>45659</v>
      </c>
      <c r="J27" s="24">
        <v>46021</v>
      </c>
      <c r="K27" s="3" t="s">
        <v>19</v>
      </c>
      <c r="L27" s="3"/>
      <c r="M27" s="3" t="s">
        <v>35</v>
      </c>
      <c r="N27" s="1"/>
    </row>
    <row r="28" spans="1:14" ht="30" x14ac:dyDescent="0.25">
      <c r="A28" s="3" t="s">
        <v>66</v>
      </c>
      <c r="B28" s="3" t="s">
        <v>67</v>
      </c>
      <c r="C28" s="3" t="s">
        <v>34</v>
      </c>
      <c r="D28" s="3" t="s">
        <v>17</v>
      </c>
      <c r="E28" s="3" t="s">
        <v>18</v>
      </c>
      <c r="F28" s="3">
        <v>30000</v>
      </c>
      <c r="G28" s="3">
        <f>Table16[[#This Row],[Valoarea estimata RON (fara TVA)]]*1.21</f>
        <v>36300</v>
      </c>
      <c r="H28" s="3">
        <f>Table16[[#This Row],[Valoarea estimata RON (fara TVA)]]/5</f>
        <v>6000</v>
      </c>
      <c r="I28" s="24">
        <v>45717</v>
      </c>
      <c r="J28" s="24">
        <v>46021</v>
      </c>
      <c r="K28" s="3" t="s">
        <v>19</v>
      </c>
      <c r="L28" s="3"/>
      <c r="M28" s="3" t="s">
        <v>35</v>
      </c>
      <c r="N28" s="1"/>
    </row>
    <row r="29" spans="1:14" ht="30" x14ac:dyDescent="0.25">
      <c r="A29" s="3" t="s">
        <v>68</v>
      </c>
      <c r="B29" s="3" t="s">
        <v>69</v>
      </c>
      <c r="C29" s="3" t="s">
        <v>34</v>
      </c>
      <c r="D29" s="3" t="s">
        <v>17</v>
      </c>
      <c r="E29" s="3" t="s">
        <v>44</v>
      </c>
      <c r="F29" s="3">
        <v>8000</v>
      </c>
      <c r="G29" s="3">
        <f>Table16[[#This Row],[Valoarea estimata RON (fara TVA)]]*1.21</f>
        <v>9680</v>
      </c>
      <c r="H29" s="3">
        <f>Table16[[#This Row],[Valoarea estimata RON (fara TVA)]]/5</f>
        <v>1600</v>
      </c>
      <c r="I29" s="24">
        <v>45717</v>
      </c>
      <c r="J29" s="24">
        <v>46021</v>
      </c>
      <c r="K29" s="3" t="s">
        <v>19</v>
      </c>
      <c r="L29" s="3"/>
      <c r="M29" s="3" t="s">
        <v>35</v>
      </c>
      <c r="N29" s="1"/>
    </row>
    <row r="30" spans="1:14" ht="30" x14ac:dyDescent="0.25">
      <c r="A30" s="3" t="s">
        <v>70</v>
      </c>
      <c r="B30" s="3" t="s">
        <v>71</v>
      </c>
      <c r="C30" s="3" t="s">
        <v>34</v>
      </c>
      <c r="D30" s="3" t="s">
        <v>17</v>
      </c>
      <c r="E30" s="3" t="s">
        <v>18</v>
      </c>
      <c r="F30" s="3">
        <v>260000</v>
      </c>
      <c r="G30" s="3">
        <f>Table16[[#This Row],[Valoarea estimata RON (fara TVA)]]*1.21</f>
        <v>314600</v>
      </c>
      <c r="H30" s="3">
        <f>Table16[[#This Row],[Valoarea estimata RON (fara TVA)]]/5</f>
        <v>52000</v>
      </c>
      <c r="I30" s="24">
        <v>45748</v>
      </c>
      <c r="J30" s="24">
        <v>46011</v>
      </c>
      <c r="K30" s="3" t="s">
        <v>19</v>
      </c>
      <c r="L30" s="3"/>
      <c r="M30" s="3" t="s">
        <v>35</v>
      </c>
      <c r="N30" s="1"/>
    </row>
    <row r="31" spans="1:14" ht="30" x14ac:dyDescent="0.25">
      <c r="A31" s="3" t="s">
        <v>72</v>
      </c>
      <c r="B31" s="3" t="s">
        <v>73</v>
      </c>
      <c r="C31" s="3" t="s">
        <v>34</v>
      </c>
      <c r="D31" s="3" t="s">
        <v>17</v>
      </c>
      <c r="E31" s="3" t="s">
        <v>74</v>
      </c>
      <c r="F31" s="3">
        <v>215000</v>
      </c>
      <c r="G31" s="3">
        <f>Table16[[#This Row],[Valoarea estimata RON (fara TVA)]]*1.21</f>
        <v>260150</v>
      </c>
      <c r="H31" s="3">
        <f>Table16[[#This Row],[Valoarea estimata RON (fara TVA)]]/5</f>
        <v>43000</v>
      </c>
      <c r="I31" s="24">
        <v>45717</v>
      </c>
      <c r="J31" s="24">
        <v>46013</v>
      </c>
      <c r="K31" s="3" t="s">
        <v>19</v>
      </c>
      <c r="L31" s="3"/>
      <c r="M31" s="3" t="s">
        <v>35</v>
      </c>
      <c r="N31" s="1"/>
    </row>
    <row r="32" spans="1:14" ht="30" x14ac:dyDescent="0.25">
      <c r="A32" s="3" t="s">
        <v>75</v>
      </c>
      <c r="B32" s="3" t="s">
        <v>76</v>
      </c>
      <c r="C32" s="3" t="s">
        <v>34</v>
      </c>
      <c r="D32" s="3" t="s">
        <v>17</v>
      </c>
      <c r="E32" s="3" t="s">
        <v>18</v>
      </c>
      <c r="F32" s="3">
        <v>80000</v>
      </c>
      <c r="G32" s="3">
        <f>Table16[[#This Row],[Valoarea estimata RON (fara TVA)]]*1.21</f>
        <v>96800</v>
      </c>
      <c r="H32" s="3">
        <f>Table16[[#This Row],[Valoarea estimata RON (fara TVA)]]/5</f>
        <v>16000</v>
      </c>
      <c r="I32" s="24">
        <v>45689</v>
      </c>
      <c r="J32" s="24">
        <v>46013</v>
      </c>
      <c r="K32" s="3" t="s">
        <v>19</v>
      </c>
      <c r="L32" s="3"/>
      <c r="M32" s="3" t="s">
        <v>35</v>
      </c>
      <c r="N32" s="1"/>
    </row>
    <row r="33" spans="1:14" ht="30" x14ac:dyDescent="0.25">
      <c r="A33" s="3" t="s">
        <v>77</v>
      </c>
      <c r="B33" s="3" t="s">
        <v>78</v>
      </c>
      <c r="C33" s="3" t="s">
        <v>34</v>
      </c>
      <c r="D33" s="3" t="s">
        <v>17</v>
      </c>
      <c r="E33" s="3" t="s">
        <v>18</v>
      </c>
      <c r="F33" s="3">
        <v>260000</v>
      </c>
      <c r="G33" s="3">
        <f>Table16[[#This Row],[Valoarea estimata RON (fara TVA)]]*1.21</f>
        <v>314600</v>
      </c>
      <c r="H33" s="3">
        <f>Table16[[#This Row],[Valoarea estimata RON (fara TVA)]]/5</f>
        <v>52000</v>
      </c>
      <c r="I33" s="24">
        <v>45778</v>
      </c>
      <c r="J33" s="24">
        <v>45991</v>
      </c>
      <c r="K33" s="3" t="s">
        <v>19</v>
      </c>
      <c r="L33" s="3"/>
      <c r="M33" s="3" t="s">
        <v>35</v>
      </c>
      <c r="N33" s="1"/>
    </row>
    <row r="34" spans="1:14" ht="45" customHeight="1" x14ac:dyDescent="0.25">
      <c r="A34" s="3" t="s">
        <v>127</v>
      </c>
      <c r="B34" s="3" t="s">
        <v>128</v>
      </c>
      <c r="C34" s="3" t="s">
        <v>34</v>
      </c>
      <c r="D34" s="3" t="s">
        <v>17</v>
      </c>
      <c r="E34" s="3" t="s">
        <v>59</v>
      </c>
      <c r="F34" s="3">
        <v>135000</v>
      </c>
      <c r="G34" s="3">
        <f>Table16[[#This Row],[Valoarea estimata RON (fara TVA)]]*1.21</f>
        <v>163350</v>
      </c>
      <c r="H34" s="3">
        <f>Table16[[#This Row],[Valoarea estimata RON (fara TVA)]]/5</f>
        <v>27000</v>
      </c>
      <c r="I34" s="24">
        <v>45716</v>
      </c>
      <c r="J34" s="24">
        <v>46006</v>
      </c>
      <c r="K34" s="3" t="s">
        <v>19</v>
      </c>
      <c r="L34" s="3"/>
      <c r="M34" s="3" t="s">
        <v>35</v>
      </c>
      <c r="N34" s="1"/>
    </row>
    <row r="35" spans="1:14" ht="30" x14ac:dyDescent="0.25">
      <c r="A35" s="3" t="s">
        <v>79</v>
      </c>
      <c r="B35" s="3" t="s">
        <v>80</v>
      </c>
      <c r="C35" s="3" t="s">
        <v>34</v>
      </c>
      <c r="D35" s="3" t="s">
        <v>17</v>
      </c>
      <c r="E35" s="3" t="s">
        <v>59</v>
      </c>
      <c r="F35" s="3">
        <v>50000</v>
      </c>
      <c r="G35" s="3">
        <f>Table16[[#This Row],[Valoarea estimata RON (fara TVA)]]*1.21</f>
        <v>60500</v>
      </c>
      <c r="H35" s="3">
        <f>Table16[[#This Row],[Valoarea estimata RON (fara TVA)]]/5</f>
        <v>10000</v>
      </c>
      <c r="I35" s="24">
        <v>45717</v>
      </c>
      <c r="J35" s="24">
        <v>45991</v>
      </c>
      <c r="K35" s="3" t="s">
        <v>19</v>
      </c>
      <c r="L35" s="3"/>
      <c r="M35" s="3" t="s">
        <v>35</v>
      </c>
      <c r="N35" s="1"/>
    </row>
    <row r="36" spans="1:14" ht="30" x14ac:dyDescent="0.25">
      <c r="A36" s="3" t="s">
        <v>81</v>
      </c>
      <c r="B36" s="3" t="s">
        <v>82</v>
      </c>
      <c r="C36" s="3" t="s">
        <v>34</v>
      </c>
      <c r="D36" s="3" t="s">
        <v>17</v>
      </c>
      <c r="E36" s="3" t="s">
        <v>18</v>
      </c>
      <c r="F36" s="3">
        <v>200000</v>
      </c>
      <c r="G36" s="3">
        <f>Table16[[#This Row],[Valoarea estimata RON (fara TVA)]]*1.21</f>
        <v>242000</v>
      </c>
      <c r="H36" s="3">
        <f>Table16[[#This Row],[Valoarea estimata RON (fara TVA)]]/5</f>
        <v>40000</v>
      </c>
      <c r="I36" s="24">
        <v>45748</v>
      </c>
      <c r="J36" s="24">
        <v>46006</v>
      </c>
      <c r="K36" s="3" t="s">
        <v>19</v>
      </c>
      <c r="L36" s="3"/>
      <c r="M36" s="3" t="s">
        <v>35</v>
      </c>
      <c r="N36" s="1"/>
    </row>
    <row r="37" spans="1:14" ht="45" x14ac:dyDescent="0.25">
      <c r="A37" s="3" t="s">
        <v>83</v>
      </c>
      <c r="B37" s="3" t="s">
        <v>84</v>
      </c>
      <c r="C37" s="3" t="s">
        <v>85</v>
      </c>
      <c r="D37" s="3" t="s">
        <v>17</v>
      </c>
      <c r="E37" s="3" t="s">
        <v>18</v>
      </c>
      <c r="F37" s="3">
        <v>19000</v>
      </c>
      <c r="G37" s="3">
        <f>Table16[[#This Row],[Valoarea estimata RON (fara TVA)]]*1.21</f>
        <v>22990</v>
      </c>
      <c r="H37" s="3">
        <f>Table16[[#This Row],[Valoarea estimata RON (fara TVA)]]/5</f>
        <v>3800</v>
      </c>
      <c r="I37" s="24">
        <v>45778</v>
      </c>
      <c r="J37" s="24">
        <v>45991</v>
      </c>
      <c r="K37" s="3" t="s">
        <v>19</v>
      </c>
      <c r="L37" s="3"/>
      <c r="M37" s="3" t="s">
        <v>35</v>
      </c>
      <c r="N37" s="1"/>
    </row>
    <row r="38" spans="1:14" ht="30" x14ac:dyDescent="0.25">
      <c r="A38" s="3" t="s">
        <v>86</v>
      </c>
      <c r="B38" s="3" t="s">
        <v>87</v>
      </c>
      <c r="C38" s="3" t="s">
        <v>85</v>
      </c>
      <c r="D38" s="3" t="s">
        <v>17</v>
      </c>
      <c r="E38" s="3" t="s">
        <v>18</v>
      </c>
      <c r="F38" s="3">
        <v>20000</v>
      </c>
      <c r="G38" s="3">
        <f>Table16[[#This Row],[Valoarea estimata RON (fara TVA)]]*1.21</f>
        <v>24200</v>
      </c>
      <c r="H38" s="3">
        <f>Table16[[#This Row],[Valoarea estimata RON (fara TVA)]]/5</f>
        <v>4000</v>
      </c>
      <c r="I38" s="24">
        <v>45792</v>
      </c>
      <c r="J38" s="24">
        <v>45930</v>
      </c>
      <c r="K38" s="3" t="s">
        <v>19</v>
      </c>
      <c r="L38" s="3"/>
      <c r="M38" s="3" t="s">
        <v>35</v>
      </c>
      <c r="N38" s="1"/>
    </row>
    <row r="39" spans="1:14" ht="30" x14ac:dyDescent="0.25">
      <c r="A39" s="3" t="s">
        <v>88</v>
      </c>
      <c r="B39" s="3" t="s">
        <v>89</v>
      </c>
      <c r="C39" s="3" t="s">
        <v>34</v>
      </c>
      <c r="D39" s="3" t="s">
        <v>17</v>
      </c>
      <c r="E39" s="3" t="s">
        <v>18</v>
      </c>
      <c r="F39" s="3">
        <v>9000</v>
      </c>
      <c r="G39" s="3">
        <f>Table16[[#This Row],[Valoarea estimata RON (fara TVA)]]*1.21</f>
        <v>10890</v>
      </c>
      <c r="H39" s="3">
        <f>Table16[[#This Row],[Valoarea estimata RON (fara TVA)]]/5</f>
        <v>1800</v>
      </c>
      <c r="I39" s="24">
        <v>45663</v>
      </c>
      <c r="J39" s="24">
        <v>46011</v>
      </c>
      <c r="K39" s="3" t="s">
        <v>19</v>
      </c>
      <c r="L39" s="3"/>
      <c r="M39" s="3" t="s">
        <v>35</v>
      </c>
      <c r="N39" s="1"/>
    </row>
    <row r="40" spans="1:14" ht="30" x14ac:dyDescent="0.25">
      <c r="A40" s="3" t="s">
        <v>103</v>
      </c>
      <c r="B40" s="23" t="s">
        <v>104</v>
      </c>
      <c r="C40" s="3" t="s">
        <v>34</v>
      </c>
      <c r="D40" s="3" t="s">
        <v>17</v>
      </c>
      <c r="E40" s="3" t="s">
        <v>18</v>
      </c>
      <c r="F40" s="3">
        <v>120000</v>
      </c>
      <c r="G40" s="3">
        <f>Table16[[#This Row],[Valoarea estimata RON (fara TVA)]]*1.21</f>
        <v>145200</v>
      </c>
      <c r="H40" s="3">
        <f>Table16[[#This Row],[Valoarea estimata RON (fara TVA)]]/5</f>
        <v>24000</v>
      </c>
      <c r="I40" s="24">
        <v>45778</v>
      </c>
      <c r="J40" s="24">
        <v>46011</v>
      </c>
      <c r="K40" s="3" t="s">
        <v>19</v>
      </c>
      <c r="L40" s="3"/>
      <c r="M40" s="3" t="s">
        <v>35</v>
      </c>
      <c r="N40" s="1"/>
    </row>
    <row r="41" spans="1:14" ht="30" x14ac:dyDescent="0.25">
      <c r="A41" s="3" t="s">
        <v>106</v>
      </c>
      <c r="B41" s="23" t="s">
        <v>107</v>
      </c>
      <c r="C41" s="3" t="s">
        <v>34</v>
      </c>
      <c r="D41" s="3" t="s">
        <v>17</v>
      </c>
      <c r="E41" s="3" t="s">
        <v>18</v>
      </c>
      <c r="F41" s="3">
        <v>180000</v>
      </c>
      <c r="G41" s="3">
        <f>Table16[[#This Row],[Valoarea estimata RON (fara TVA)]]*1.21</f>
        <v>217800</v>
      </c>
      <c r="H41" s="3">
        <f>Table16[[#This Row],[Valoarea estimata RON (fara TVA)]]/5</f>
        <v>36000</v>
      </c>
      <c r="I41" s="24">
        <v>45778</v>
      </c>
      <c r="J41" s="24">
        <v>46011</v>
      </c>
      <c r="K41" s="3" t="s">
        <v>19</v>
      </c>
      <c r="L41" s="3"/>
      <c r="M41" s="3" t="s">
        <v>35</v>
      </c>
      <c r="N41" s="1"/>
    </row>
    <row r="42" spans="1:14" ht="45" x14ac:dyDescent="0.25">
      <c r="A42" s="3" t="s">
        <v>110</v>
      </c>
      <c r="B42" s="23" t="s">
        <v>111</v>
      </c>
      <c r="C42" s="3" t="s">
        <v>34</v>
      </c>
      <c r="D42" s="3" t="s">
        <v>17</v>
      </c>
      <c r="E42" s="3" t="s">
        <v>44</v>
      </c>
      <c r="F42" s="3">
        <v>10000</v>
      </c>
      <c r="G42" s="3">
        <f>Table16[[#This Row],[Valoarea estimata RON (fara TVA)]]*1.21</f>
        <v>12100</v>
      </c>
      <c r="H42" s="3">
        <f>Table16[[#This Row],[Valoarea estimata RON (fara TVA)]]/5</f>
        <v>2000</v>
      </c>
      <c r="I42" s="24">
        <v>45778</v>
      </c>
      <c r="J42" s="24">
        <v>46011</v>
      </c>
      <c r="K42" s="3" t="s">
        <v>19</v>
      </c>
      <c r="L42" s="3"/>
      <c r="M42" s="3" t="s">
        <v>35</v>
      </c>
      <c r="N42" s="1"/>
    </row>
    <row r="43" spans="1:14" ht="45" x14ac:dyDescent="0.25">
      <c r="A43" s="3" t="s">
        <v>112</v>
      </c>
      <c r="B43" s="23" t="s">
        <v>113</v>
      </c>
      <c r="C43" s="3" t="s">
        <v>34</v>
      </c>
      <c r="D43" s="3" t="s">
        <v>17</v>
      </c>
      <c r="E43" s="3" t="s">
        <v>44</v>
      </c>
      <c r="F43" s="3">
        <v>110000</v>
      </c>
      <c r="G43" s="3">
        <f>Table16[[#This Row],[Valoarea estimata RON (fara TVA)]]*1.21</f>
        <v>133100</v>
      </c>
      <c r="H43" s="3">
        <f>Table16[[#This Row],[Valoarea estimata RON (fara TVA)]]/5</f>
        <v>22000</v>
      </c>
      <c r="I43" s="24">
        <v>45778</v>
      </c>
      <c r="J43" s="24">
        <v>46011</v>
      </c>
      <c r="K43" s="3" t="s">
        <v>19</v>
      </c>
      <c r="L43" s="3"/>
      <c r="M43" s="3" t="s">
        <v>35</v>
      </c>
      <c r="N43" s="1"/>
    </row>
    <row r="44" spans="1:14" ht="45" x14ac:dyDescent="0.25">
      <c r="A44" s="3" t="s">
        <v>114</v>
      </c>
      <c r="B44" s="23" t="s">
        <v>115</v>
      </c>
      <c r="C44" s="3" t="s">
        <v>34</v>
      </c>
      <c r="D44" s="3" t="s">
        <v>17</v>
      </c>
      <c r="E44" s="3" t="s">
        <v>44</v>
      </c>
      <c r="F44" s="3">
        <v>7000</v>
      </c>
      <c r="G44" s="3">
        <f>Table16[[#This Row],[Valoarea estimata RON (fara TVA)]]*1.21</f>
        <v>8470</v>
      </c>
      <c r="H44" s="3">
        <f>Table16[[#This Row],[Valoarea estimata RON (fara TVA)]]/5</f>
        <v>1400</v>
      </c>
      <c r="I44" s="24">
        <v>45748</v>
      </c>
      <c r="J44" s="24">
        <v>46011</v>
      </c>
      <c r="K44" s="3" t="s">
        <v>19</v>
      </c>
      <c r="L44" s="3"/>
      <c r="M44" s="3" t="s">
        <v>35</v>
      </c>
      <c r="N44" s="1"/>
    </row>
    <row r="45" spans="1:14" ht="30" x14ac:dyDescent="0.25">
      <c r="A45" s="3" t="s">
        <v>116</v>
      </c>
      <c r="B45" s="23" t="s">
        <v>117</v>
      </c>
      <c r="C45" s="3" t="s">
        <v>34</v>
      </c>
      <c r="D45" s="3" t="s">
        <v>17</v>
      </c>
      <c r="E45" s="3" t="s">
        <v>118</v>
      </c>
      <c r="F45" s="3">
        <v>6000</v>
      </c>
      <c r="G45" s="3">
        <f>Table16[[#This Row],[Valoarea estimata RON (fara TVA)]]*1.21</f>
        <v>7260</v>
      </c>
      <c r="H45" s="3">
        <f>Table16[[#This Row],[Valoarea estimata RON (fara TVA)]]/5</f>
        <v>1200</v>
      </c>
      <c r="I45" s="24">
        <v>45748</v>
      </c>
      <c r="J45" s="24">
        <v>46011</v>
      </c>
      <c r="K45" s="3" t="s">
        <v>19</v>
      </c>
      <c r="L45" s="3"/>
      <c r="M45" s="3" t="s">
        <v>35</v>
      </c>
      <c r="N45" s="1"/>
    </row>
    <row r="46" spans="1:14" ht="30" x14ac:dyDescent="0.25">
      <c r="A46" s="3" t="s">
        <v>119</v>
      </c>
      <c r="B46" s="23" t="s">
        <v>120</v>
      </c>
      <c r="C46" s="3" t="s">
        <v>34</v>
      </c>
      <c r="D46" s="3" t="s">
        <v>17</v>
      </c>
      <c r="E46" s="3" t="s">
        <v>118</v>
      </c>
      <c r="F46" s="3">
        <v>5000</v>
      </c>
      <c r="G46" s="3">
        <f>Table16[[#This Row],[Valoarea estimata RON (fara TVA)]]*1.21</f>
        <v>6050</v>
      </c>
      <c r="H46" s="3">
        <f>Table16[[#This Row],[Valoarea estimata RON (fara TVA)]]/5</f>
        <v>1000</v>
      </c>
      <c r="I46" s="24">
        <v>45748</v>
      </c>
      <c r="J46" s="24">
        <v>46011</v>
      </c>
      <c r="K46" s="3" t="s">
        <v>19</v>
      </c>
      <c r="L46" s="3"/>
      <c r="M46" s="3" t="s">
        <v>35</v>
      </c>
      <c r="N46" s="1"/>
    </row>
    <row r="47" spans="1:14" ht="30" x14ac:dyDescent="0.25">
      <c r="A47" s="3" t="s">
        <v>121</v>
      </c>
      <c r="B47" s="23" t="s">
        <v>122</v>
      </c>
      <c r="C47" s="3" t="s">
        <v>34</v>
      </c>
      <c r="D47" s="3" t="s">
        <v>17</v>
      </c>
      <c r="E47" s="3" t="s">
        <v>18</v>
      </c>
      <c r="F47" s="3">
        <v>200000</v>
      </c>
      <c r="G47" s="3">
        <f>Table16[[#This Row],[Valoarea estimata RON (fara TVA)]]*1.21</f>
        <v>242000</v>
      </c>
      <c r="H47" s="3">
        <f>Table16[[#This Row],[Valoarea estimata RON (fara TVA)]]/5</f>
        <v>40000</v>
      </c>
      <c r="I47" s="24">
        <v>45748</v>
      </c>
      <c r="J47" s="24">
        <v>46011</v>
      </c>
      <c r="K47" s="3" t="s">
        <v>19</v>
      </c>
      <c r="L47" s="3"/>
      <c r="M47" s="3" t="s">
        <v>35</v>
      </c>
      <c r="N47" s="1"/>
    </row>
    <row r="48" spans="1:14" ht="30" x14ac:dyDescent="0.25">
      <c r="A48" s="3" t="s">
        <v>125</v>
      </c>
      <c r="B48" s="23" t="s">
        <v>126</v>
      </c>
      <c r="C48" s="3" t="s">
        <v>34</v>
      </c>
      <c r="D48" s="3" t="s">
        <v>17</v>
      </c>
      <c r="E48" s="3" t="s">
        <v>18</v>
      </c>
      <c r="F48" s="3">
        <v>8000</v>
      </c>
      <c r="G48" s="3">
        <f>Table16[[#This Row],[Valoarea estimata RON (fara TVA)]]*1.21</f>
        <v>9680</v>
      </c>
      <c r="H48" s="3">
        <f>Table16[[#This Row],[Valoarea estimata RON (fara TVA)]]/5</f>
        <v>1600</v>
      </c>
      <c r="I48" s="24">
        <v>45748</v>
      </c>
      <c r="J48" s="24">
        <v>46011</v>
      </c>
      <c r="K48" s="3" t="s">
        <v>19</v>
      </c>
      <c r="L48" s="3"/>
      <c r="M48" s="3" t="s">
        <v>35</v>
      </c>
      <c r="N48" s="1"/>
    </row>
    <row r="49" spans="1:14" ht="30" x14ac:dyDescent="0.25">
      <c r="A49" s="25" t="s">
        <v>130</v>
      </c>
      <c r="B49" s="23" t="s">
        <v>132</v>
      </c>
      <c r="C49" s="3" t="s">
        <v>129</v>
      </c>
      <c r="D49" s="3" t="s">
        <v>17</v>
      </c>
      <c r="E49" s="3" t="s">
        <v>44</v>
      </c>
      <c r="F49" s="3">
        <v>305695</v>
      </c>
      <c r="G49" s="3">
        <f>Table16[[#This Row],[Valoarea estimata RON (fara TVA)]]*1.21</f>
        <v>369890.95</v>
      </c>
      <c r="H49" s="3">
        <f>Table16[[#This Row],[Valoarea estimata RON (fara TVA)]]/5</f>
        <v>61139</v>
      </c>
      <c r="I49" s="24">
        <v>45839</v>
      </c>
      <c r="J49" s="24">
        <v>46011</v>
      </c>
      <c r="K49" s="3" t="s">
        <v>19</v>
      </c>
      <c r="L49" s="3"/>
      <c r="M49" s="3" t="s">
        <v>35</v>
      </c>
      <c r="N49" s="1"/>
    </row>
    <row r="50" spans="1:14" ht="30" x14ac:dyDescent="0.25">
      <c r="A50" s="25" t="s">
        <v>130</v>
      </c>
      <c r="B50" s="23" t="s">
        <v>133</v>
      </c>
      <c r="C50" s="3" t="s">
        <v>129</v>
      </c>
      <c r="D50" s="3" t="s">
        <v>17</v>
      </c>
      <c r="E50" s="3" t="s">
        <v>44</v>
      </c>
      <c r="F50" s="3">
        <v>305695</v>
      </c>
      <c r="G50" s="3">
        <f>Table16[[#This Row],[Valoarea estimata RON (fara TVA)]]*1.21</f>
        <v>369890.95</v>
      </c>
      <c r="H50" s="3">
        <f>Table16[[#This Row],[Valoarea estimata RON (fara TVA)]]/5</f>
        <v>61139</v>
      </c>
      <c r="I50" s="24">
        <v>45839</v>
      </c>
      <c r="J50" s="24">
        <v>46011</v>
      </c>
      <c r="K50" s="3" t="s">
        <v>19</v>
      </c>
      <c r="L50" s="3"/>
      <c r="M50" s="3" t="s">
        <v>35</v>
      </c>
      <c r="N50" s="1"/>
    </row>
    <row r="51" spans="1:14" ht="30" x14ac:dyDescent="0.25">
      <c r="A51" s="25" t="s">
        <v>130</v>
      </c>
      <c r="B51" s="23" t="s">
        <v>131</v>
      </c>
      <c r="C51" s="3" t="s">
        <v>129</v>
      </c>
      <c r="D51" s="3" t="s">
        <v>17</v>
      </c>
      <c r="E51" s="3" t="s">
        <v>44</v>
      </c>
      <c r="F51" s="3">
        <v>305695</v>
      </c>
      <c r="G51" s="3">
        <f>Table16[[#This Row],[Valoarea estimata RON (fara TVA)]]*1.21</f>
        <v>369890.95</v>
      </c>
      <c r="H51" s="3">
        <f>Table16[[#This Row],[Valoarea estimata RON (fara TVA)]]/5</f>
        <v>61139</v>
      </c>
      <c r="I51" s="24">
        <v>45839</v>
      </c>
      <c r="J51" s="24">
        <v>46011</v>
      </c>
      <c r="K51" s="3" t="s">
        <v>19</v>
      </c>
      <c r="L51" s="3"/>
      <c r="M51" s="3" t="s">
        <v>35</v>
      </c>
      <c r="N51" s="1"/>
    </row>
    <row r="52" spans="1:14" ht="30" x14ac:dyDescent="0.25">
      <c r="A52" s="3" t="s">
        <v>90</v>
      </c>
      <c r="B52" s="3" t="s">
        <v>91</v>
      </c>
      <c r="C52" s="3" t="s">
        <v>34</v>
      </c>
      <c r="D52" s="3" t="s">
        <v>17</v>
      </c>
      <c r="E52" s="3" t="s">
        <v>18</v>
      </c>
      <c r="F52" s="3">
        <v>80000</v>
      </c>
      <c r="G52" s="3">
        <f>Table16[[#This Row],[Valoarea estimata RON (fara TVA)]]*1.21</f>
        <v>96800</v>
      </c>
      <c r="H52" s="3">
        <f>Table16[[#This Row],[Valoarea estimata RON (fara TVA)]]/5</f>
        <v>16000</v>
      </c>
      <c r="I52" s="24">
        <v>45663</v>
      </c>
      <c r="J52" s="24">
        <v>46011</v>
      </c>
      <c r="K52" s="3" t="s">
        <v>19</v>
      </c>
      <c r="L52" s="3"/>
      <c r="M52" s="3" t="s">
        <v>35</v>
      </c>
      <c r="N52" s="1"/>
    </row>
    <row r="53" spans="1:14" ht="45.75" customHeight="1" thickBot="1" x14ac:dyDescent="0.3">
      <c r="A53" s="3"/>
      <c r="B53" s="3"/>
      <c r="C53" s="3"/>
      <c r="D53" s="3"/>
      <c r="E53" s="3"/>
      <c r="F53" s="4">
        <f>SUBTOTAL(109,F5:F52)</f>
        <v>8399285</v>
      </c>
      <c r="G53" s="4">
        <f>Table16[[#This Row],[Valoarea estimata RON (fara TVA)]]*1.21</f>
        <v>10163134.85</v>
      </c>
      <c r="H53" s="4">
        <f>Table16[[#This Row],[Valoarea estimata RON (fara TVA)]]/5</f>
        <v>1679857</v>
      </c>
      <c r="I53" s="5"/>
      <c r="J53" s="5"/>
      <c r="K53" s="5"/>
      <c r="L53" s="5"/>
      <c r="M53" s="5"/>
      <c r="N53" s="1"/>
    </row>
    <row r="54" spans="1:14" ht="45.75" customHeight="1" thickBot="1" x14ac:dyDescent="0.3">
      <c r="F54" s="28" t="s">
        <v>92</v>
      </c>
      <c r="G54" s="29"/>
      <c r="H54" s="29"/>
      <c r="I54" s="6" t="s">
        <v>96</v>
      </c>
      <c r="J54" s="6" t="s">
        <v>97</v>
      </c>
      <c r="K54" s="7" t="s">
        <v>98</v>
      </c>
      <c r="L54" s="8"/>
      <c r="M54" s="9" t="s">
        <v>99</v>
      </c>
    </row>
    <row r="55" spans="1:14" ht="45.75" customHeight="1" thickBot="1" x14ac:dyDescent="0.3">
      <c r="F55" s="30" t="s">
        <v>102</v>
      </c>
      <c r="G55" s="31"/>
      <c r="H55" s="31"/>
      <c r="I55" s="22"/>
      <c r="J55" s="11"/>
      <c r="K55" s="11"/>
      <c r="L55" s="11"/>
      <c r="M55" s="12"/>
    </row>
    <row r="56" spans="1:14" ht="45.75" customHeight="1" thickBot="1" x14ac:dyDescent="0.3">
      <c r="F56" s="32" t="s">
        <v>93</v>
      </c>
      <c r="G56" s="33"/>
      <c r="H56" s="33"/>
      <c r="I56" s="13"/>
      <c r="J56" s="14"/>
      <c r="K56" s="14"/>
      <c r="L56" s="14"/>
      <c r="M56" s="15"/>
    </row>
    <row r="57" spans="1:14" ht="45.75" customHeight="1" thickBot="1" x14ac:dyDescent="0.3">
      <c r="F57" s="34" t="s">
        <v>94</v>
      </c>
      <c r="G57" s="35"/>
      <c r="H57" s="35"/>
      <c r="I57" s="19" t="s">
        <v>96</v>
      </c>
      <c r="J57" s="19" t="s">
        <v>100</v>
      </c>
      <c r="K57" s="20" t="s">
        <v>98</v>
      </c>
      <c r="L57" s="10"/>
      <c r="M57" s="21" t="s">
        <v>99</v>
      </c>
    </row>
    <row r="58" spans="1:14" ht="30.75" thickBot="1" x14ac:dyDescent="0.3">
      <c r="F58" s="26" t="s">
        <v>95</v>
      </c>
      <c r="G58" s="27"/>
      <c r="H58" s="27"/>
      <c r="I58" s="16" t="s">
        <v>18</v>
      </c>
      <c r="J58" s="17"/>
      <c r="K58" s="17"/>
      <c r="L58" s="17"/>
      <c r="M58" s="18"/>
    </row>
  </sheetData>
  <mergeCells count="5">
    <mergeCell ref="F58:H58"/>
    <mergeCell ref="F54:H54"/>
    <mergeCell ref="F55:H55"/>
    <mergeCell ref="F56:H56"/>
    <mergeCell ref="F57:H57"/>
  </mergeCells>
  <phoneticPr fontId="4" type="noConversion"/>
  <pageMargins left="0.7" right="0.7" top="0.75" bottom="0.75" header="0.3" footer="0.3"/>
  <pageSetup scale="55" orientation="landscape" r:id="rId1"/>
  <rowBreaks count="1" manualBreakCount="1">
    <brk id="48" max="1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2025-06-20T08:25:39Z</cp:lastPrinted>
  <dcterms:created xsi:type="dcterms:W3CDTF">2024-02-02T07:04:14Z</dcterms:created>
  <dcterms:modified xsi:type="dcterms:W3CDTF">2025-11-12T10:54:42Z</dcterms:modified>
</cp:coreProperties>
</file>